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ma\Downloads\"/>
    </mc:Choice>
  </mc:AlternateContent>
  <xr:revisionPtr revIDLastSave="0" documentId="13_ncr:1_{D32A31DA-4BD3-4210-82F2-6084FA2D5FDF}" xr6:coauthVersionLast="47" xr6:coauthVersionMax="47" xr10:uidLastSave="{00000000-0000-0000-0000-000000000000}"/>
  <bookViews>
    <workbookView xWindow="-120" yWindow="-120" windowWidth="20730" windowHeight="11310" xr2:uid="{6194D305-F66D-4836-A372-FB48FFC0B091}"/>
  </bookViews>
  <sheets>
    <sheet name="Invoice" sheetId="4" r:id="rId1"/>
    <sheet name="product" sheetId="2" r:id="rId2"/>
    <sheet name="Custome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4" l="1"/>
  <c r="F21" i="4"/>
  <c r="F20" i="4"/>
  <c r="F19" i="4"/>
  <c r="K13" i="4"/>
  <c r="I13" i="4"/>
  <c r="J13" i="4"/>
  <c r="H13" i="4"/>
  <c r="F13" i="4"/>
  <c r="E13" i="4"/>
  <c r="A8" i="4"/>
  <c r="A7" i="4"/>
  <c r="A6" i="4"/>
  <c r="J14" i="4"/>
  <c r="J15" i="4"/>
  <c r="J16" i="4"/>
  <c r="J17" i="4"/>
  <c r="H14" i="4"/>
  <c r="H15" i="4"/>
  <c r="H16" i="4"/>
  <c r="H17" i="4"/>
  <c r="E14" i="4"/>
  <c r="F14" i="4" s="1"/>
  <c r="E15" i="4"/>
  <c r="F15" i="4" s="1"/>
  <c r="E16" i="4"/>
  <c r="F16" i="4" s="1"/>
  <c r="E17" i="4"/>
  <c r="F17" i="4" s="1"/>
  <c r="C14" i="4"/>
  <c r="C15" i="4"/>
  <c r="C16" i="4"/>
  <c r="C17" i="4"/>
  <c r="C13" i="4"/>
  <c r="J4" i="4"/>
  <c r="I14" i="4" l="1"/>
  <c r="K14" i="4"/>
  <c r="I15" i="4"/>
  <c r="K15" i="4"/>
  <c r="K17" i="4"/>
  <c r="I17" i="4"/>
  <c r="K16" i="4"/>
  <c r="I16" i="4"/>
  <c r="G16" i="4" l="1"/>
  <c r="G14" i="4"/>
  <c r="G15" i="4"/>
  <c r="G13" i="4"/>
  <c r="G17" i="4"/>
</calcChain>
</file>

<file path=xl/sharedStrings.xml><?xml version="1.0" encoding="utf-8"?>
<sst xmlns="http://schemas.openxmlformats.org/spreadsheetml/2006/main" count="81" uniqueCount="66">
  <si>
    <t>Product Name</t>
  </si>
  <si>
    <t>Unit Price</t>
  </si>
  <si>
    <t>CGST</t>
  </si>
  <si>
    <t>SGST</t>
  </si>
  <si>
    <t>Coconut</t>
  </si>
  <si>
    <t>Watermelon</t>
  </si>
  <si>
    <t>Apple</t>
  </si>
  <si>
    <t>Apricot</t>
  </si>
  <si>
    <t>HSN Code</t>
  </si>
  <si>
    <t>Kiwi</t>
  </si>
  <si>
    <t>Product Details</t>
  </si>
  <si>
    <t>GSTIN</t>
  </si>
  <si>
    <t>Company Name</t>
  </si>
  <si>
    <t>Contact No</t>
  </si>
  <si>
    <t>ON</t>
  </si>
  <si>
    <t>ONAAACXXXX5D1Z4</t>
  </si>
  <si>
    <t>ONXCACXXXX5D1ZY</t>
  </si>
  <si>
    <t>ONFSDCXXXX5D1ZR</t>
  </si>
  <si>
    <t>ONAAACXXXX5D1E5</t>
  </si>
  <si>
    <t>ONAAACXXXX5D169</t>
  </si>
  <si>
    <t>ONAAACXXXX5D1G6</t>
  </si>
  <si>
    <t>Windsor</t>
  </si>
  <si>
    <t>Area</t>
  </si>
  <si>
    <t>Toronto</t>
  </si>
  <si>
    <t>Kingston</t>
  </si>
  <si>
    <t>Thunder Bay</t>
  </si>
  <si>
    <t>Ottawa</t>
  </si>
  <si>
    <t>Sarnia</t>
  </si>
  <si>
    <t>+14378863164</t>
  </si>
  <si>
    <t>+14378861224</t>
  </si>
  <si>
    <t>+14378863136</t>
  </si>
  <si>
    <t>+14378862847</t>
  </si>
  <si>
    <t>+14378863124</t>
  </si>
  <si>
    <t>+14378862656</t>
  </si>
  <si>
    <t>Company Details</t>
  </si>
  <si>
    <t>Product</t>
  </si>
  <si>
    <t>Qty</t>
  </si>
  <si>
    <t>Amount</t>
  </si>
  <si>
    <t>Rate</t>
  </si>
  <si>
    <t>Serial</t>
  </si>
  <si>
    <t>Total Amount</t>
  </si>
  <si>
    <t>Taxable Amount</t>
  </si>
  <si>
    <t>Bank Details</t>
  </si>
  <si>
    <t>Sign…......................................</t>
  </si>
  <si>
    <t>Terms &amp; Conditions:-</t>
  </si>
  <si>
    <t>A/C Name</t>
  </si>
  <si>
    <t xml:space="preserve"> A/C No.</t>
  </si>
  <si>
    <t>"N" Fruit Supplier</t>
  </si>
  <si>
    <t xml:space="preserve">GST INVOICE </t>
  </si>
  <si>
    <t>State Code</t>
  </si>
  <si>
    <t>Date</t>
  </si>
  <si>
    <t>Invoice No</t>
  </si>
  <si>
    <t>SHIP TO</t>
  </si>
  <si>
    <t>BILL FROM</t>
  </si>
  <si>
    <t>Ottawa, Ontario</t>
  </si>
  <si>
    <t>Contect Number: +14378862659</t>
  </si>
  <si>
    <t>ONAACXXXX5D1ET</t>
  </si>
  <si>
    <t>Michael James</t>
  </si>
  <si>
    <t>0034567</t>
  </si>
  <si>
    <t>l</t>
  </si>
  <si>
    <t xml:space="preserve">X </t>
  </si>
  <si>
    <t xml:space="preserve">Y </t>
  </si>
  <si>
    <t xml:space="preserve">Z </t>
  </si>
  <si>
    <t xml:space="preserve">A </t>
  </si>
  <si>
    <t xml:space="preserve">B </t>
  </si>
  <si>
    <t xml:space="preserve">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</si>
</sst>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0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dobe Garamond Pro Bold"/>
      <family val="1"/>
    </font>
    <font>
      <b/>
      <sz val="16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4">
    <xf numFmtId="0" fontId="0" fillId="0" borderId="0" xfId="0"/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1" xfId="0" applyBorder="1"/>
    <xf numFmtId="0" fontId="5" fillId="0" borderId="1" xfId="0" quotePrefix="1" applyFont="1" applyBorder="1"/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6" borderId="16" xfId="0" applyFont="1" applyFill="1" applyBorder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0" fillId="7" borderId="10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9" fillId="3" borderId="22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/>
    <xf numFmtId="0" fontId="2" fillId="0" borderId="1" xfId="0" applyFont="1" applyBorder="1" applyAlignment="1">
      <alignment horizontal="center"/>
    </xf>
    <xf numFmtId="168" fontId="2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0" fontId="7" fillId="4" borderId="4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3" borderId="12" xfId="0" applyFont="1" applyFill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4" fontId="0" fillId="0" borderId="6" xfId="0" applyNumberFormat="1" applyFont="1" applyBorder="1" applyAlignment="1">
      <alignment horizontal="center"/>
    </xf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6" borderId="19" xfId="0" applyFont="1" applyFill="1" applyBorder="1" applyAlignment="1">
      <alignment horizontal="left" vertical="center"/>
    </xf>
    <xf numFmtId="0" fontId="2" fillId="6" borderId="20" xfId="0" applyFont="1" applyFill="1" applyBorder="1" applyAlignment="1">
      <alignment horizontal="left" vertical="center"/>
    </xf>
    <xf numFmtId="0" fontId="2" fillId="6" borderId="2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quotePrefix="1" applyFont="1" applyBorder="1" applyAlignment="1">
      <alignment horizontal="left" vertical="center"/>
    </xf>
    <xf numFmtId="0" fontId="6" fillId="6" borderId="9" xfId="0" applyFont="1" applyFill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0" fontId="7" fillId="4" borderId="33" xfId="0" applyFont="1" applyFill="1" applyBorder="1" applyAlignment="1">
      <alignment horizontal="center" vertical="center"/>
    </xf>
    <xf numFmtId="0" fontId="7" fillId="0" borderId="36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6" fillId="6" borderId="34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" fillId="0" borderId="29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7" borderId="26" xfId="0" applyFont="1" applyFill="1" applyBorder="1" applyAlignment="1">
      <alignment horizontal="center"/>
    </xf>
    <xf numFmtId="0" fontId="2" fillId="7" borderId="27" xfId="0" applyFont="1" applyFill="1" applyBorder="1" applyAlignment="1">
      <alignment horizontal="center"/>
    </xf>
    <xf numFmtId="0" fontId="2" fillId="7" borderId="37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13" fillId="0" borderId="3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44" fontId="0" fillId="0" borderId="1" xfId="1" applyFont="1" applyBorder="1"/>
    <xf numFmtId="44" fontId="0" fillId="0" borderId="1" xfId="0" applyNumberFormat="1" applyBorder="1"/>
    <xf numFmtId="9" fontId="0" fillId="0" borderId="1" xfId="2" applyFont="1" applyBorder="1"/>
    <xf numFmtId="44" fontId="0" fillId="0" borderId="6" xfId="0" applyNumberFormat="1" applyBorder="1"/>
    <xf numFmtId="44" fontId="0" fillId="0" borderId="3" xfId="0" applyNumberFormat="1" applyBorder="1" applyAlignment="1">
      <alignment horizontal="center"/>
    </xf>
    <xf numFmtId="44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9525</xdr:rowOff>
        </xdr:from>
        <xdr:to>
          <xdr:col>12</xdr:col>
          <xdr:colOff>381000</xdr:colOff>
          <xdr:row>7</xdr:row>
          <xdr:rowOff>95250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8</xdr:row>
          <xdr:rowOff>28575</xdr:rowOff>
        </xdr:from>
        <xdr:to>
          <xdr:col>12</xdr:col>
          <xdr:colOff>390525</xdr:colOff>
          <xdr:row>10</xdr:row>
          <xdr:rowOff>133350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20EF8-FC18-40F6-9EA9-5B42EFED94D9}">
  <sheetPr codeName="Sheet1"/>
  <dimension ref="A1:T28"/>
  <sheetViews>
    <sheetView showGridLines="0" tabSelected="1" zoomScale="80" zoomScaleNormal="80" zoomScalePageLayoutView="60" workbookViewId="0">
      <selection activeCell="T26" sqref="T26"/>
    </sheetView>
  </sheetViews>
  <sheetFormatPr defaultRowHeight="15"/>
  <cols>
    <col min="1" max="1" width="6.85546875" customWidth="1"/>
    <col min="2" max="2" width="19.42578125" customWidth="1"/>
    <col min="3" max="3" width="13.28515625" customWidth="1"/>
    <col min="4" max="4" width="7.5703125" customWidth="1"/>
    <col min="5" max="5" width="7.7109375" customWidth="1"/>
    <col min="6" max="6" width="11.5703125" customWidth="1"/>
    <col min="7" max="7" width="11" customWidth="1"/>
    <col min="8" max="8" width="6.85546875" customWidth="1"/>
    <col min="9" max="9" width="11.42578125" customWidth="1"/>
    <col min="10" max="10" width="6.85546875" customWidth="1"/>
    <col min="11" max="11" width="12" customWidth="1"/>
  </cols>
  <sheetData>
    <row r="1" spans="1:11" ht="15.75" thickBot="1"/>
    <row r="2" spans="1:11" ht="24" customHeight="1">
      <c r="A2" s="26" t="s">
        <v>47</v>
      </c>
      <c r="B2" s="27"/>
      <c r="C2" s="27"/>
      <c r="D2" s="27"/>
      <c r="E2" s="27"/>
      <c r="F2" s="27"/>
      <c r="G2" s="27"/>
      <c r="H2" s="27"/>
      <c r="I2" s="27"/>
      <c r="J2" s="27"/>
      <c r="K2" s="40"/>
    </row>
    <row r="3" spans="1:11" ht="18.95" customHeight="1">
      <c r="A3" s="28" t="s">
        <v>48</v>
      </c>
      <c r="B3" s="29"/>
      <c r="C3" s="29"/>
      <c r="D3" s="29"/>
      <c r="E3" s="29"/>
      <c r="F3" s="29"/>
      <c r="G3" s="29"/>
      <c r="H3" s="29"/>
      <c r="I3" s="29"/>
      <c r="J3" s="29"/>
      <c r="K3" s="41"/>
    </row>
    <row r="4" spans="1:11" ht="16.5" thickBot="1">
      <c r="A4" s="42" t="s">
        <v>51</v>
      </c>
      <c r="B4" s="31"/>
      <c r="C4" s="30">
        <v>2</v>
      </c>
      <c r="D4" s="31" t="s">
        <v>49</v>
      </c>
      <c r="E4" s="31"/>
      <c r="F4" s="33" t="s">
        <v>14</v>
      </c>
      <c r="G4" s="33"/>
      <c r="H4" s="32" t="s">
        <v>50</v>
      </c>
      <c r="I4" s="32"/>
      <c r="J4" s="34">
        <f ca="1">TODAY()</f>
        <v>44586</v>
      </c>
      <c r="K4" s="43"/>
    </row>
    <row r="5" spans="1:11" ht="15.75">
      <c r="A5" s="59" t="s">
        <v>52</v>
      </c>
      <c r="B5" s="60"/>
      <c r="C5" s="60"/>
      <c r="D5" s="60"/>
      <c r="E5" s="60"/>
      <c r="F5" s="61"/>
      <c r="G5" s="35" t="s">
        <v>53</v>
      </c>
      <c r="H5" s="36"/>
      <c r="I5" s="36"/>
      <c r="J5" s="36"/>
      <c r="K5" s="37"/>
    </row>
    <row r="6" spans="1:11" ht="15.75">
      <c r="A6" s="82" t="str">
        <f>IFERROR(VLOOKUP($B$9,Customer!$B$5:$E$10,2,FALSE),"")</f>
        <v xml:space="preserve">Z </v>
      </c>
      <c r="B6" s="83"/>
      <c r="C6" s="83"/>
      <c r="D6" s="83"/>
      <c r="E6" s="83"/>
      <c r="F6" s="62"/>
      <c r="G6" s="58" t="s">
        <v>47</v>
      </c>
      <c r="H6" s="38"/>
      <c r="I6" s="38"/>
      <c r="J6" s="38"/>
      <c r="K6" s="39"/>
    </row>
    <row r="7" spans="1:11" ht="15.75">
      <c r="A7" s="82" t="str">
        <f>IFERROR(VLOOKUP($B$9,Customer!$B$5:$E$10,3,FALSE),"")</f>
        <v>Kingston</v>
      </c>
      <c r="B7" s="83"/>
      <c r="C7" s="83"/>
      <c r="D7" s="83"/>
      <c r="E7" s="83"/>
      <c r="F7" s="64"/>
      <c r="G7" s="58" t="s">
        <v>54</v>
      </c>
      <c r="H7" s="38"/>
      <c r="I7" s="38"/>
      <c r="J7" s="38"/>
      <c r="K7" s="39"/>
    </row>
    <row r="8" spans="1:11" ht="15.75">
      <c r="A8" s="84" t="str">
        <f>IFERROR(VLOOKUP($B$9,Customer!$B$5:$E$10,4,FALSE),"")</f>
        <v>+14378863136</v>
      </c>
      <c r="B8" s="85"/>
      <c r="C8" s="85"/>
      <c r="D8" s="85"/>
      <c r="E8" s="85"/>
      <c r="F8" s="63"/>
      <c r="G8" s="58" t="s">
        <v>55</v>
      </c>
      <c r="H8" s="38"/>
      <c r="I8" s="38"/>
      <c r="J8" s="38"/>
      <c r="K8" s="39"/>
    </row>
    <row r="9" spans="1:11" ht="18.75">
      <c r="A9" s="65" t="s">
        <v>11</v>
      </c>
      <c r="B9" s="66" t="s">
        <v>17</v>
      </c>
      <c r="C9" s="67"/>
      <c r="D9" s="67"/>
      <c r="E9" s="67"/>
      <c r="F9" s="68"/>
      <c r="G9" s="57" t="s">
        <v>11</v>
      </c>
      <c r="H9" s="69" t="s">
        <v>56</v>
      </c>
      <c r="I9" s="69"/>
      <c r="J9" s="69"/>
      <c r="K9" s="70"/>
    </row>
    <row r="10" spans="1:11" ht="15.75" thickBot="1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6"/>
    </row>
    <row r="11" spans="1:11">
      <c r="A11" s="10" t="s">
        <v>39</v>
      </c>
      <c r="B11" s="11" t="s">
        <v>8</v>
      </c>
      <c r="C11" s="11" t="s">
        <v>35</v>
      </c>
      <c r="D11" s="11" t="s">
        <v>36</v>
      </c>
      <c r="E11" s="11" t="s">
        <v>1</v>
      </c>
      <c r="F11" s="11" t="s">
        <v>37</v>
      </c>
      <c r="G11" s="12" t="s">
        <v>41</v>
      </c>
      <c r="H11" s="13" t="s">
        <v>2</v>
      </c>
      <c r="I11" s="14"/>
      <c r="J11" s="15" t="s">
        <v>3</v>
      </c>
      <c r="K11" s="16"/>
    </row>
    <row r="12" spans="1:11">
      <c r="A12" s="10"/>
      <c r="B12" s="11"/>
      <c r="C12" s="11"/>
      <c r="D12" s="11"/>
      <c r="E12" s="11"/>
      <c r="F12" s="11"/>
      <c r="G12" s="12"/>
      <c r="H12" s="17" t="s">
        <v>38</v>
      </c>
      <c r="I12" s="18" t="s">
        <v>37</v>
      </c>
      <c r="J12" s="17" t="s">
        <v>38</v>
      </c>
      <c r="K12" s="18" t="s">
        <v>37</v>
      </c>
    </row>
    <row r="13" spans="1:11">
      <c r="A13" s="47">
        <v>1</v>
      </c>
      <c r="B13" s="1">
        <v>801</v>
      </c>
      <c r="C13" s="6" t="str">
        <f>IFERROR(VLOOKUP(B13,product!B5:F9,2,FALSE),"")</f>
        <v>Coconut</v>
      </c>
      <c r="D13" s="6">
        <v>200</v>
      </c>
      <c r="E13" s="86">
        <f>IFERROR(VLOOKUP(B13,product!B5:F9,3,FALSE),"")</f>
        <v>5</v>
      </c>
      <c r="F13" s="87">
        <f>D13*E13</f>
        <v>1000</v>
      </c>
      <c r="G13" s="87">
        <f>I13+K13</f>
        <v>70</v>
      </c>
      <c r="H13" s="88">
        <f>IFERROR(VLOOKUP(B13,product!B5:F9,4,FALSE),"")</f>
        <v>0.03</v>
      </c>
      <c r="I13" s="87">
        <f>F13*H13</f>
        <v>30</v>
      </c>
      <c r="J13" s="88">
        <f>IFERROR(VLOOKUP(B13,product!B5:F9,5,FALSE),"")</f>
        <v>0.04</v>
      </c>
      <c r="K13" s="89">
        <f>F13*J13</f>
        <v>40</v>
      </c>
    </row>
    <row r="14" spans="1:11">
      <c r="A14" s="47">
        <v>2</v>
      </c>
      <c r="B14" s="1">
        <v>810</v>
      </c>
      <c r="C14" s="6" t="str">
        <f>IFERROR(VLOOKUP(B14,product!B6:F10,2,FALSE),"")</f>
        <v>Kiwi</v>
      </c>
      <c r="D14" s="6">
        <v>500</v>
      </c>
      <c r="E14" s="86">
        <f>IFERROR(VLOOKUP(B14,product!B6:F10,3,FALSE),"")</f>
        <v>3</v>
      </c>
      <c r="F14" s="87">
        <f t="shared" ref="F14:F17" si="0">D14*E14</f>
        <v>1500</v>
      </c>
      <c r="G14" s="87">
        <f t="shared" ref="G14:G17" si="1">I14+K14</f>
        <v>90</v>
      </c>
      <c r="H14" s="88">
        <f>IFERROR(VLOOKUP(B14,product!B6:F10,4,FALSE),"")</f>
        <v>0.02</v>
      </c>
      <c r="I14" s="87">
        <f t="shared" ref="I14:I17" si="2">F14*H14</f>
        <v>30</v>
      </c>
      <c r="J14" s="88">
        <f>IFERROR(VLOOKUP(B14,product!B6:F10,5,FALSE),"")</f>
        <v>0.04</v>
      </c>
      <c r="K14" s="89">
        <f t="shared" ref="K14:K17" si="3">F14*J14</f>
        <v>60</v>
      </c>
    </row>
    <row r="15" spans="1:11">
      <c r="A15" s="47">
        <v>3</v>
      </c>
      <c r="B15" s="1">
        <v>807</v>
      </c>
      <c r="C15" s="6" t="str">
        <f>IFERROR(VLOOKUP(B15,product!B7:F11,2,FALSE),"")</f>
        <v>Watermelon</v>
      </c>
      <c r="D15" s="6">
        <v>300</v>
      </c>
      <c r="E15" s="86">
        <f>IFERROR(VLOOKUP(B15,product!B7:F11,3,FALSE),"")</f>
        <v>7</v>
      </c>
      <c r="F15" s="87">
        <f t="shared" si="0"/>
        <v>2100</v>
      </c>
      <c r="G15" s="87">
        <f t="shared" si="1"/>
        <v>231</v>
      </c>
      <c r="H15" s="88">
        <f>IFERROR(VLOOKUP(B15,product!B7:F11,4,FALSE),"")</f>
        <v>0.05</v>
      </c>
      <c r="I15" s="87">
        <f t="shared" si="2"/>
        <v>105</v>
      </c>
      <c r="J15" s="88">
        <f>IFERROR(VLOOKUP(B15,product!B7:F11,5,FALSE),"")</f>
        <v>0.06</v>
      </c>
      <c r="K15" s="89">
        <f t="shared" si="3"/>
        <v>126</v>
      </c>
    </row>
    <row r="16" spans="1:11">
      <c r="A16" s="47">
        <v>4</v>
      </c>
      <c r="B16" s="1">
        <v>808</v>
      </c>
      <c r="C16" s="6" t="str">
        <f>IFERROR(VLOOKUP(B16,product!B8:F12,2,FALSE),"")</f>
        <v>Apple</v>
      </c>
      <c r="D16" s="6">
        <v>798</v>
      </c>
      <c r="E16" s="86">
        <f>IFERROR(VLOOKUP(B16,product!B8:F12,3,FALSE),"")</f>
        <v>4</v>
      </c>
      <c r="F16" s="87">
        <f t="shared" si="0"/>
        <v>3192</v>
      </c>
      <c r="G16" s="87">
        <f t="shared" si="1"/>
        <v>255.36</v>
      </c>
      <c r="H16" s="88">
        <f>IFERROR(VLOOKUP(B16,product!B8:F12,4,FALSE),"")</f>
        <v>0.04</v>
      </c>
      <c r="I16" s="87">
        <f t="shared" si="2"/>
        <v>127.68</v>
      </c>
      <c r="J16" s="88">
        <f>IFERROR(VLOOKUP(B16,product!B8:F12,5,FALSE),"")</f>
        <v>0.04</v>
      </c>
      <c r="K16" s="89">
        <f t="shared" si="3"/>
        <v>127.68</v>
      </c>
    </row>
    <row r="17" spans="1:20">
      <c r="A17" s="47">
        <v>5</v>
      </c>
      <c r="B17" s="1">
        <v>809</v>
      </c>
      <c r="C17" s="6" t="str">
        <f>IFERROR(VLOOKUP(B17,product!B9:F13,2,FALSE),"")</f>
        <v>Apricot</v>
      </c>
      <c r="D17" s="6">
        <v>570</v>
      </c>
      <c r="E17" s="86">
        <f>IFERROR(VLOOKUP(B17,product!B9:F13,3,FALSE),"")</f>
        <v>3</v>
      </c>
      <c r="F17" s="87">
        <f t="shared" si="0"/>
        <v>1710</v>
      </c>
      <c r="G17" s="87">
        <f t="shared" si="1"/>
        <v>188.1</v>
      </c>
      <c r="H17" s="88">
        <f>IFERROR(VLOOKUP(B17,product!B9:F13,4,FALSE),"")</f>
        <v>0.05</v>
      </c>
      <c r="I17" s="87">
        <f t="shared" si="2"/>
        <v>85.5</v>
      </c>
      <c r="J17" s="88">
        <f>IFERROR(VLOOKUP(B17,product!B9:F13,5,FALSE),"")</f>
        <v>0.06</v>
      </c>
      <c r="K17" s="89">
        <f t="shared" si="3"/>
        <v>102.6</v>
      </c>
    </row>
    <row r="18" spans="1:20" ht="15.75">
      <c r="A18" s="79" t="s">
        <v>40</v>
      </c>
      <c r="B18" s="80"/>
      <c r="C18" s="80"/>
      <c r="D18" s="80"/>
      <c r="E18" s="80"/>
      <c r="F18" s="80"/>
      <c r="G18" s="80"/>
      <c r="H18" s="80"/>
      <c r="I18" s="80"/>
      <c r="J18" s="80"/>
      <c r="K18" s="81"/>
    </row>
    <row r="19" spans="1:20">
      <c r="A19" s="48" t="s">
        <v>37</v>
      </c>
      <c r="B19" s="19"/>
      <c r="C19" s="19"/>
      <c r="D19" s="19"/>
      <c r="E19" s="20"/>
      <c r="F19" s="91">
        <f>SUM(F13:F17)</f>
        <v>9502</v>
      </c>
      <c r="G19" s="92"/>
      <c r="H19" s="92"/>
      <c r="I19" s="92"/>
      <c r="J19" s="92"/>
      <c r="K19" s="93"/>
    </row>
    <row r="20" spans="1:20">
      <c r="A20" s="48" t="s">
        <v>2</v>
      </c>
      <c r="B20" s="19"/>
      <c r="C20" s="19"/>
      <c r="D20" s="19"/>
      <c r="E20" s="20"/>
      <c r="F20" s="90">
        <f>SUM(I13:I17)</f>
        <v>378.18</v>
      </c>
      <c r="G20" s="19"/>
      <c r="H20" s="19"/>
      <c r="I20" s="19"/>
      <c r="J20" s="19"/>
      <c r="K20" s="49"/>
    </row>
    <row r="21" spans="1:20">
      <c r="A21" s="48" t="s">
        <v>3</v>
      </c>
      <c r="B21" s="19"/>
      <c r="C21" s="19"/>
      <c r="D21" s="19"/>
      <c r="E21" s="20"/>
      <c r="F21" s="90">
        <f>SUM(K13:K17)</f>
        <v>456.28</v>
      </c>
      <c r="G21" s="19"/>
      <c r="H21" s="19"/>
      <c r="I21" s="19"/>
      <c r="J21" s="19"/>
      <c r="K21" s="49"/>
    </row>
    <row r="22" spans="1:20" ht="15.75" thickBot="1">
      <c r="A22" s="76" t="s">
        <v>40</v>
      </c>
      <c r="B22" s="77"/>
      <c r="C22" s="77"/>
      <c r="D22" s="77"/>
      <c r="E22" s="78"/>
      <c r="F22" s="90">
        <f>SUM(F19:K21)</f>
        <v>10336.460000000001</v>
      </c>
      <c r="G22" s="19"/>
      <c r="H22" s="19"/>
      <c r="I22" s="19"/>
      <c r="J22" s="19"/>
      <c r="K22" s="49"/>
    </row>
    <row r="23" spans="1:20">
      <c r="A23" s="73" t="s">
        <v>42</v>
      </c>
      <c r="B23" s="74"/>
      <c r="C23" s="74"/>
      <c r="D23" s="74"/>
      <c r="E23" s="74"/>
      <c r="F23" s="74"/>
      <c r="G23" s="75"/>
      <c r="H23" s="24"/>
      <c r="I23" s="24"/>
      <c r="J23" s="24"/>
      <c r="K23" s="50"/>
    </row>
    <row r="24" spans="1:20" ht="15.75">
      <c r="A24" s="71" t="s">
        <v>45</v>
      </c>
      <c r="B24" s="72"/>
      <c r="C24" s="55" t="s">
        <v>57</v>
      </c>
      <c r="D24" s="55"/>
      <c r="E24" s="55"/>
      <c r="F24" s="55"/>
      <c r="G24" s="55"/>
      <c r="H24" s="25" t="s">
        <v>43</v>
      </c>
      <c r="I24" s="25"/>
      <c r="J24" s="25"/>
      <c r="K24" s="51"/>
    </row>
    <row r="25" spans="1:20" ht="15.75">
      <c r="A25" s="71" t="s">
        <v>46</v>
      </c>
      <c r="B25" s="72"/>
      <c r="C25" s="56" t="s">
        <v>58</v>
      </c>
      <c r="D25" s="55"/>
      <c r="E25" s="55"/>
      <c r="F25" s="55"/>
      <c r="G25" s="55"/>
      <c r="H25" s="25"/>
      <c r="I25" s="25"/>
      <c r="J25" s="25"/>
      <c r="K25" s="51"/>
    </row>
    <row r="26" spans="1:20">
      <c r="A26" s="21" t="s">
        <v>44</v>
      </c>
      <c r="B26" s="22"/>
      <c r="C26" s="22"/>
      <c r="D26" s="22"/>
      <c r="E26" s="22"/>
      <c r="F26" s="22"/>
      <c r="G26" s="22"/>
      <c r="H26" s="22"/>
      <c r="I26" s="22"/>
      <c r="J26" s="22"/>
      <c r="K26" s="23"/>
    </row>
    <row r="27" spans="1:20" ht="15.75" thickBot="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4"/>
    </row>
    <row r="28" spans="1:20">
      <c r="T28" t="s">
        <v>59</v>
      </c>
    </row>
  </sheetData>
  <mergeCells count="43">
    <mergeCell ref="A18:K18"/>
    <mergeCell ref="A26:K27"/>
    <mergeCell ref="G8:K8"/>
    <mergeCell ref="H9:K9"/>
    <mergeCell ref="C9:F9"/>
    <mergeCell ref="A8:E8"/>
    <mergeCell ref="A5:F5"/>
    <mergeCell ref="G5:K5"/>
    <mergeCell ref="G6:K6"/>
    <mergeCell ref="G7:K7"/>
    <mergeCell ref="A6:E6"/>
    <mergeCell ref="A7:E7"/>
    <mergeCell ref="D4:E4"/>
    <mergeCell ref="J4:K4"/>
    <mergeCell ref="H4:I4"/>
    <mergeCell ref="F4:G4"/>
    <mergeCell ref="A2:K2"/>
    <mergeCell ref="A3:K3"/>
    <mergeCell ref="A4:B4"/>
    <mergeCell ref="A23:G23"/>
    <mergeCell ref="H23:J23"/>
    <mergeCell ref="A24:B24"/>
    <mergeCell ref="C24:G24"/>
    <mergeCell ref="H24:K25"/>
    <mergeCell ref="A25:B25"/>
    <mergeCell ref="C25:G25"/>
    <mergeCell ref="A19:E19"/>
    <mergeCell ref="A20:E20"/>
    <mergeCell ref="A21:E21"/>
    <mergeCell ref="A22:E22"/>
    <mergeCell ref="F19:K19"/>
    <mergeCell ref="F20:K20"/>
    <mergeCell ref="F21:K21"/>
    <mergeCell ref="F22:K22"/>
    <mergeCell ref="G11:G12"/>
    <mergeCell ref="H11:I11"/>
    <mergeCell ref="J11:K11"/>
    <mergeCell ref="C11:C12"/>
    <mergeCell ref="A11:A12"/>
    <mergeCell ref="B11:B12"/>
    <mergeCell ref="D11:D12"/>
    <mergeCell ref="E11:E12"/>
    <mergeCell ref="F11:F12"/>
  </mergeCells>
  <conditionalFormatting sqref="H11:I11">
    <cfRule type="containsText" dxfId="1" priority="2" operator="containsText" text="CGST NOT APPLY">
      <formula>NOT(ISERROR(SEARCH("CGST NOT APPLY",H11)))</formula>
    </cfRule>
  </conditionalFormatting>
  <conditionalFormatting sqref="J11:K11">
    <cfRule type="containsText" dxfId="0" priority="1" operator="containsText" text="SGST NOT APPLY">
      <formula>NOT(ISERROR(SEARCH("SGST NOT APPLY",J11)))</formula>
    </cfRule>
  </conditionalFormatting>
  <pageMargins left="0.7" right="0.7" top="0.75" bottom="0.75" header="0.3" footer="0.3"/>
  <pageSetup scale="79" orientation="portrait" horizontalDpi="300" verticalDpi="300" r:id="rId1"/>
  <ignoredErrors>
    <ignoredError sqref="C25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resumeinvoice">
                <anchor moveWithCells="1" sizeWithCells="1">
                  <from>
                    <xdr:col>11</xdr:col>
                    <xdr:colOff>38100</xdr:colOff>
                    <xdr:row>5</xdr:row>
                    <xdr:rowOff>9525</xdr:rowOff>
                  </from>
                  <to>
                    <xdr:col>12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Button 15">
              <controlPr defaultSize="0" print="0" autoFill="0" autoPict="0" macro="[0]!savegst">
                <anchor moveWithCells="1" sizeWithCells="1">
                  <from>
                    <xdr:col>11</xdr:col>
                    <xdr:colOff>38100</xdr:colOff>
                    <xdr:row>8</xdr:row>
                    <xdr:rowOff>28575</xdr:rowOff>
                  </from>
                  <to>
                    <xdr:col>12</xdr:col>
                    <xdr:colOff>390525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EA1A58-1B39-4672-B4F6-CFB7B1FE7138}">
          <x14:formula1>
            <xm:f>Customer!$B$5:$B$10</xm:f>
          </x14:formula1>
          <xm:sqref>F4:G4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F0147-051C-4F56-96EA-7C373B6E557F}">
  <sheetPr codeName="Sheet2"/>
  <dimension ref="B2:F9"/>
  <sheetViews>
    <sheetView showGridLines="0" workbookViewId="0">
      <selection activeCell="B5" sqref="B5:B9"/>
    </sheetView>
  </sheetViews>
  <sheetFormatPr defaultRowHeight="20.100000000000001" customHeight="1"/>
  <cols>
    <col min="2" max="2" width="9.85546875" customWidth="1"/>
    <col min="3" max="3" width="14.140625" customWidth="1"/>
    <col min="4" max="4" width="9.5703125" customWidth="1"/>
  </cols>
  <sheetData>
    <row r="2" spans="2:6" ht="20.100000000000001" customHeight="1">
      <c r="B2" s="5" t="s">
        <v>10</v>
      </c>
      <c r="C2" s="5"/>
      <c r="D2" s="5"/>
      <c r="E2" s="5"/>
      <c r="F2" s="5"/>
    </row>
    <row r="4" spans="2:6" ht="20.100000000000001" customHeight="1">
      <c r="B4" s="4" t="s">
        <v>8</v>
      </c>
      <c r="C4" s="4" t="s">
        <v>0</v>
      </c>
      <c r="D4" s="4" t="s">
        <v>1</v>
      </c>
      <c r="E4" s="4" t="s">
        <v>2</v>
      </c>
      <c r="F4" s="4" t="s">
        <v>3</v>
      </c>
    </row>
    <row r="5" spans="2:6" ht="20.100000000000001" customHeight="1">
      <c r="B5" s="1">
        <v>801</v>
      </c>
      <c r="C5" s="1" t="s">
        <v>4</v>
      </c>
      <c r="D5" s="2">
        <v>5</v>
      </c>
      <c r="E5" s="3">
        <v>0.03</v>
      </c>
      <c r="F5" s="3">
        <v>0.04</v>
      </c>
    </row>
    <row r="6" spans="2:6" ht="20.100000000000001" customHeight="1">
      <c r="B6" s="1">
        <v>810</v>
      </c>
      <c r="C6" s="1" t="s">
        <v>9</v>
      </c>
      <c r="D6" s="2">
        <v>3</v>
      </c>
      <c r="E6" s="3">
        <v>0.02</v>
      </c>
      <c r="F6" s="3">
        <v>0.04</v>
      </c>
    </row>
    <row r="7" spans="2:6" ht="20.100000000000001" customHeight="1">
      <c r="B7" s="1">
        <v>807</v>
      </c>
      <c r="C7" s="1" t="s">
        <v>5</v>
      </c>
      <c r="D7" s="2">
        <v>7</v>
      </c>
      <c r="E7" s="3">
        <v>0.05</v>
      </c>
      <c r="F7" s="3">
        <v>0.06</v>
      </c>
    </row>
    <row r="8" spans="2:6" ht="20.100000000000001" customHeight="1">
      <c r="B8" s="1">
        <v>808</v>
      </c>
      <c r="C8" s="1" t="s">
        <v>6</v>
      </c>
      <c r="D8" s="2">
        <v>4</v>
      </c>
      <c r="E8" s="3">
        <v>0.04</v>
      </c>
      <c r="F8" s="3">
        <v>0.04</v>
      </c>
    </row>
    <row r="9" spans="2:6" ht="20.100000000000001" customHeight="1">
      <c r="B9" s="1">
        <v>809</v>
      </c>
      <c r="C9" s="1" t="s">
        <v>7</v>
      </c>
      <c r="D9" s="2">
        <v>3</v>
      </c>
      <c r="E9" s="3">
        <v>0.05</v>
      </c>
      <c r="F9" s="3">
        <v>0.06</v>
      </c>
    </row>
  </sheetData>
  <mergeCells count="1"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A87E4-604A-4C64-B7A4-F3DF3DA77729}">
  <sheetPr codeName="Sheet3"/>
  <dimension ref="B2:E10"/>
  <sheetViews>
    <sheetView showGridLines="0" zoomScaleNormal="100" workbookViewId="0">
      <selection activeCell="D18" sqref="D18"/>
    </sheetView>
  </sheetViews>
  <sheetFormatPr defaultRowHeight="20.100000000000001" customHeight="1"/>
  <cols>
    <col min="1" max="1" width="7.140625" customWidth="1"/>
    <col min="2" max="2" width="19.28515625" customWidth="1"/>
    <col min="3" max="3" width="14.7109375" customWidth="1"/>
    <col min="4" max="4" width="14.140625" customWidth="1"/>
    <col min="5" max="5" width="15.140625" customWidth="1"/>
  </cols>
  <sheetData>
    <row r="2" spans="2:5" ht="20.100000000000001" customHeight="1">
      <c r="B2" s="5" t="s">
        <v>34</v>
      </c>
      <c r="C2" s="5"/>
      <c r="D2" s="5"/>
      <c r="E2" s="5"/>
    </row>
    <row r="4" spans="2:5" ht="20.100000000000001" customHeight="1">
      <c r="B4" s="9" t="s">
        <v>11</v>
      </c>
      <c r="C4" s="9" t="s">
        <v>12</v>
      </c>
      <c r="D4" s="9" t="s">
        <v>22</v>
      </c>
      <c r="E4" s="9" t="s">
        <v>13</v>
      </c>
    </row>
    <row r="5" spans="2:5" ht="20.100000000000001" customHeight="1">
      <c r="B5" s="6" t="s">
        <v>15</v>
      </c>
      <c r="C5" s="8" t="s">
        <v>60</v>
      </c>
      <c r="D5" s="8" t="s">
        <v>21</v>
      </c>
      <c r="E5" s="7" t="s">
        <v>28</v>
      </c>
    </row>
    <row r="6" spans="2:5" ht="20.100000000000001" customHeight="1">
      <c r="B6" s="6" t="s">
        <v>16</v>
      </c>
      <c r="C6" s="8" t="s">
        <v>61</v>
      </c>
      <c r="D6" s="8" t="s">
        <v>23</v>
      </c>
      <c r="E6" s="7" t="s">
        <v>29</v>
      </c>
    </row>
    <row r="7" spans="2:5" ht="20.100000000000001" customHeight="1">
      <c r="B7" s="6" t="s">
        <v>17</v>
      </c>
      <c r="C7" s="8" t="s">
        <v>62</v>
      </c>
      <c r="D7" s="8" t="s">
        <v>24</v>
      </c>
      <c r="E7" s="7" t="s">
        <v>30</v>
      </c>
    </row>
    <row r="8" spans="2:5" ht="20.100000000000001" customHeight="1">
      <c r="B8" s="6" t="s">
        <v>18</v>
      </c>
      <c r="C8" s="8" t="s">
        <v>63</v>
      </c>
      <c r="D8" s="8" t="s">
        <v>25</v>
      </c>
      <c r="E8" s="7" t="s">
        <v>31</v>
      </c>
    </row>
    <row r="9" spans="2:5" ht="20.100000000000001" customHeight="1">
      <c r="B9" s="6" t="s">
        <v>19</v>
      </c>
      <c r="C9" s="8" t="s">
        <v>64</v>
      </c>
      <c r="D9" s="8" t="s">
        <v>26</v>
      </c>
      <c r="E9" s="7" t="s">
        <v>32</v>
      </c>
    </row>
    <row r="10" spans="2:5" ht="20.100000000000001" customHeight="1">
      <c r="B10" s="6" t="s">
        <v>20</v>
      </c>
      <c r="C10" s="8" t="s">
        <v>65</v>
      </c>
      <c r="D10" s="8" t="s">
        <v>27</v>
      </c>
      <c r="E10" s="7" t="s">
        <v>33</v>
      </c>
    </row>
  </sheetData>
  <mergeCells count="1">
    <mergeCell ref="B2:E2"/>
  </mergeCells>
  <phoneticPr fontId="4" type="noConversion"/>
  <pageMargins left="0.7" right="0.7" top="0.75" bottom="0.75" header="0.3" footer="0.3"/>
  <pageSetup orientation="portrait" horizontalDpi="300" verticalDpi="300" r:id="rId1"/>
  <ignoredErrors>
    <ignoredError sqref="E5:E10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Invoice</vt:lpstr>
      <vt:lpstr>product</vt:lpstr>
      <vt:lpstr>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Mima</dc:creator>
  <cp:lastModifiedBy>Mima</cp:lastModifiedBy>
  <cp:lastPrinted>2022-01-25T06:31:17Z</cp:lastPrinted>
  <dcterms:created xsi:type="dcterms:W3CDTF">2022-01-25T00:56:13Z</dcterms:created>
  <dcterms:modified xsi:type="dcterms:W3CDTF">2022-01-25T10:56:46Z</dcterms:modified>
</cp:coreProperties>
</file>